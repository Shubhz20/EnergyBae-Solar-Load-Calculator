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INR&quot; #,##0"/>
    <numFmt numFmtId="165" formatCode="0.0"/>
    <numFmt numFmtId="166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2"/>
    </font>
    <font>
      <b val="1"/>
      <color rgb="00000000"/>
      <sz val="11"/>
    </font>
    <font>
      <b val="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6F4A"/>
      </patternFill>
    </fill>
    <fill>
      <patternFill patternType="solid">
        <fgColor rgb="00E8F4EE"/>
      </patternFill>
    </fill>
    <fill>
      <patternFill patternType="solid">
        <fgColor rgb="00FFF7CC"/>
      </patternFill>
    </fill>
    <fill>
      <patternFill patternType="solid">
        <fgColor rgb="00EAF1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8" customWidth="1" min="3" max="3"/>
    <col width="22" customWidth="1" min="4" max="4"/>
    <col width="18" customWidth="1" min="5" max="5"/>
  </cols>
  <sheetData>
    <row r="2" ht="28" customHeight="1">
      <c r="B2" s="1" t="inlineStr">
        <is>
          <t>ENERGYBAE - Solar Load Calculator</t>
        </is>
      </c>
      <c r="C2" s="11" t="n"/>
      <c r="D2" s="11" t="n"/>
      <c r="E2" s="12" t="n"/>
    </row>
    <row r="3">
      <c r="B3" s="2" t="inlineStr">
        <is>
          <t>Customer Details &amp; Load Inputs</t>
        </is>
      </c>
      <c r="C3" s="11" t="n"/>
      <c r="D3" s="11" t="n"/>
      <c r="E3" s="12" t="n"/>
    </row>
    <row r="5">
      <c r="B5" s="3" t="inlineStr">
        <is>
          <t>Consumer Name</t>
        </is>
      </c>
      <c r="C5" s="4" t="inlineStr">
        <is>
          <t>Sample Customer (MSEDCL)</t>
        </is>
      </c>
    </row>
    <row r="6">
      <c r="B6" s="3" t="inlineStr">
        <is>
          <t>Consumer Number</t>
        </is>
      </c>
      <c r="C6" s="4" t="inlineStr">
        <is>
          <t>170210123456</t>
        </is>
      </c>
    </row>
    <row r="7">
      <c r="B7" s="3" t="inlineStr">
        <is>
          <t>Billing Unit</t>
        </is>
      </c>
      <c r="C7" s="4" t="inlineStr">
        <is>
          <t>BU-401 Pune</t>
        </is>
      </c>
    </row>
    <row r="8">
      <c r="B8" s="3" t="inlineStr">
        <is>
          <t>Tariff Category</t>
        </is>
      </c>
      <c r="C8" s="4" t="inlineStr">
        <is>
          <t>LT-I Residential</t>
        </is>
      </c>
    </row>
    <row r="9">
      <c r="B9" s="3" t="inlineStr">
        <is>
          <t>Connected Load (kW)</t>
        </is>
      </c>
      <c r="C9" s="4" t="n">
        <v>4.5</v>
      </c>
    </row>
    <row r="10">
      <c r="B10" s="3" t="inlineStr">
        <is>
          <t>Avg Monthly Consumption (kWh)</t>
        </is>
      </c>
      <c r="C10" s="4" t="n">
        <v>480</v>
      </c>
    </row>
    <row r="12">
      <c r="B12" s="2" t="inlineStr">
        <is>
          <t>System Sizing &amp; Savings (auto-calculated)</t>
        </is>
      </c>
      <c r="C12" s="11" t="n"/>
      <c r="D12" s="11" t="n"/>
      <c r="E12" s="12" t="n"/>
    </row>
    <row r="13">
      <c r="B13" s="3" t="inlineStr">
        <is>
          <t>Annual Consumption (kWh)</t>
        </is>
      </c>
      <c r="C13" s="5">
        <f>IF(ISNUMBER(C10), C10*12, "")</f>
        <v/>
      </c>
    </row>
    <row r="14">
      <c r="B14" s="3" t="inlineStr">
        <is>
          <t>Recommended Solar System Size (kWp)</t>
        </is>
      </c>
      <c r="C14" s="6">
        <f>IF(ISNUMBER(C10), ROUND(C10/120, 2), "")</f>
        <v/>
      </c>
    </row>
    <row r="15">
      <c r="B15" s="3" t="inlineStr">
        <is>
          <t>Estimated Annual Generation (kWh)</t>
        </is>
      </c>
      <c r="C15" s="5">
        <f>IF(ISNUMBER(C14), C14*1500, "")</f>
        <v/>
      </c>
    </row>
    <row r="16">
      <c r="B16" s="3" t="inlineStr">
        <is>
          <t>Estimated Annual Savings (INR)</t>
        </is>
      </c>
      <c r="C16" s="7">
        <f>IF(ISNUMBER(C15), C15*8, "")</f>
        <v/>
      </c>
    </row>
    <row r="17">
      <c r="B17" s="3" t="inlineStr">
        <is>
          <t>Estimated System Cost (INR)</t>
        </is>
      </c>
      <c r="C17" s="7">
        <f>IF(ISNUMBER(C14), C14*55000, "")</f>
        <v/>
      </c>
    </row>
    <row r="18">
      <c r="B18" s="3" t="inlineStr">
        <is>
          <t>Payback Period (years)</t>
        </is>
      </c>
      <c r="C18" s="8">
        <f>IFERROR(C17/C16, "")</f>
        <v/>
      </c>
    </row>
    <row r="19">
      <c r="B19" s="3" t="inlineStr">
        <is>
          <t>25-Year ROI (%)</t>
        </is>
      </c>
      <c r="C19" s="9">
        <f>IFERROR((C16*25 - C17)/C17*100, "")</f>
        <v/>
      </c>
    </row>
    <row r="21">
      <c r="B21" s="10" t="inlineStr">
        <is>
          <t>Yellow cells are inputs (auto-filled from MSEDCL bill). Blue cells contain formulas - do not edit.</t>
        </is>
      </c>
    </row>
  </sheetData>
  <mergeCells count="4">
    <mergeCell ref="B21:E21"/>
    <mergeCell ref="B12:E12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2026-04-30T14:08:58Z</dcterms:created>
  <dcterms:modified xmlns:dcterms="http://purl.org/dc/terms/" xmlns:xsi="http://www.w3.org/2001/XMLSchema-instance" xsi:type="dcterms:W3CDTF">2026-04-30T14:09:15Z</dcterms:modified>
</cp:coreProperties>
</file>